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arim\Downloads\"/>
    </mc:Choice>
  </mc:AlternateContent>
  <xr:revisionPtr revIDLastSave="0" documentId="13_ncr:1_{709DCF4A-D030-419F-8B15-5B5A598DD53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M4" i="2" l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" i="2"/>
  <c r="H33" i="2"/>
  <c r="L33" i="2" s="1"/>
  <c r="L10" i="2"/>
  <c r="L12" i="2"/>
  <c r="L13" i="2"/>
  <c r="H4" i="2"/>
  <c r="L4" i="2" s="1"/>
  <c r="H5" i="2"/>
  <c r="L5" i="2" s="1"/>
  <c r="H6" i="2"/>
  <c r="L6" i="2" s="1"/>
  <c r="H7" i="2"/>
  <c r="L7" i="2" s="1"/>
  <c r="H8" i="2"/>
  <c r="L8" i="2" s="1"/>
  <c r="H9" i="2"/>
  <c r="L9" i="2" s="1"/>
  <c r="H10" i="2"/>
  <c r="H11" i="2"/>
  <c r="L11" i="2" s="1"/>
  <c r="H12" i="2"/>
  <c r="H13" i="2"/>
  <c r="H14" i="2"/>
  <c r="L14" i="2" s="1"/>
  <c r="H15" i="2"/>
  <c r="L15" i="2" s="1"/>
  <c r="H16" i="2"/>
  <c r="L16" i="2" s="1"/>
  <c r="H17" i="2"/>
  <c r="L17" i="2" s="1"/>
  <c r="H18" i="2"/>
  <c r="L18" i="2" s="1"/>
  <c r="H19" i="2"/>
  <c r="L19" i="2" s="1"/>
  <c r="H20" i="2"/>
  <c r="L20" i="2" s="1"/>
  <c r="H21" i="2"/>
  <c r="L21" i="2" s="1"/>
  <c r="H22" i="2"/>
  <c r="L22" i="2" s="1"/>
  <c r="H23" i="2"/>
  <c r="L23" i="2" s="1"/>
  <c r="H24" i="2"/>
  <c r="L24" i="2" s="1"/>
  <c r="H25" i="2"/>
  <c r="L25" i="2" s="1"/>
  <c r="H26" i="2"/>
  <c r="L26" i="2" s="1"/>
  <c r="H27" i="2"/>
  <c r="L27" i="2" s="1"/>
  <c r="H28" i="2"/>
  <c r="L28" i="2" s="1"/>
  <c r="H29" i="2"/>
  <c r="L29" i="2" s="1"/>
  <c r="H30" i="2"/>
  <c r="L30" i="2" s="1"/>
  <c r="H31" i="2"/>
  <c r="L31" i="2" s="1"/>
  <c r="H32" i="2"/>
  <c r="L32" i="2" s="1"/>
  <c r="H3" i="2"/>
  <c r="L3" i="2" s="1"/>
</calcChain>
</file>

<file path=xl/sharedStrings.xml><?xml version="1.0" encoding="utf-8"?>
<sst xmlns="http://schemas.openxmlformats.org/spreadsheetml/2006/main" count="232" uniqueCount="141">
  <si>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</si>
  <si>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</si>
  <si>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</si>
  <si>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</si>
  <si>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</si>
  <si>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</si>
  <si>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</si>
  <si>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</si>
  <si>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</si>
  <si>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</si>
  <si>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</si>
  <si>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</si>
  <si>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</si>
  <si>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</si>
  <si>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</si>
  <si>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</si>
  <si>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</si>
  <si>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</si>
  <si>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</si>
  <si>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</si>
  <si>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</si>
  <si>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</si>
  <si>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</si>
  <si>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</si>
  <si>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</si>
  <si>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</si>
  <si>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</si>
  <si>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</si>
  <si>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</si>
  <si>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</si>
  <si>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</si>
  <si>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</si>
  <si>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</si>
  <si>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</si>
  <si>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</si>
  <si>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</si>
  <si>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</si>
  <si>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</si>
  <si>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</si>
  <si>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</si>
  <si>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</si>
  <si>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</si>
  <si>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</si>
  <si>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</si>
  <si>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</si>
  <si>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</si>
  <si>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</si>
  <si>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</si>
  <si>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</si>
  <si>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</si>
  <si>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</si>
  <si>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</si>
  <si>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</si>
  <si>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</si>
  <si>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</si>
  <si>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</si>
  <si>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</si>
  <si>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</si>
  <si>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</si>
  <si>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</si>
  <si>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</si>
  <si>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</si>
  <si>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</si>
  <si>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</si>
  <si>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</si>
  <si>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</si>
  <si>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</si>
  <si>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</si>
  <si>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</si>
  <si>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</si>
  <si>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</si>
  <si>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</si>
  <si>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</si>
  <si>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</si>
  <si>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</si>
  <si>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</si>
  <si>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</si>
  <si>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</si>
  <si>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</si>
  <si>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</si>
  <si>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</si>
  <si>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</si>
  <si>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</si>
  <si>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</si>
  <si>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</si>
  <si>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</si>
  <si>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</si>
  <si>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</si>
  <si>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</si>
  <si>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</si>
  <si>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</si>
  <si>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</si>
  <si>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</si>
  <si>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</si>
  <si>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</si>
  <si>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</si>
  <si>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</si>
  <si>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</si>
  <si>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</si>
  <si>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</si>
  <si>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</si>
  <si>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</si>
  <si>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</si>
  <si>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</si>
  <si>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</si>
  <si>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</si>
  <si>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</si>
  <si>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</si>
  <si>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</si>
  <si>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</si>
  <si>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</si>
  <si>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</si>
  <si>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</si>
  <si>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</si>
  <si>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</si>
  <si>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Alter price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</si>
  <si>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</si>
  <si>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</si>
  <si>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</si>
  <si>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</si>
  <si>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</si>
  <si>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</si>
  <si>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</si>
  <si>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</si>
  <si>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</si>
  <si>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</si>
  <si>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</si>
  <si>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</si>
  <si>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Manufacture Date</t>
  </si>
  <si>
    <t>Country Code</t>
  </si>
  <si>
    <t>Product Brand</t>
  </si>
  <si>
    <t>2a</t>
  </si>
  <si>
    <t>3a</t>
  </si>
  <si>
    <t>4a</t>
  </si>
  <si>
    <t>4b</t>
  </si>
  <si>
    <t>4a, 5b</t>
  </si>
  <si>
    <t>1a, 5a, 6a</t>
  </si>
  <si>
    <t>1b, 2b, 2c, 6b</t>
  </si>
  <si>
    <t>Completed</t>
  </si>
  <si>
    <t>https://drive.google.com/file/d/1_m10SWn0-pGdrLc0HUezWckpmAEGQlOW/view?usp=sharing</t>
  </si>
  <si>
    <t>6b , Conditional format pdf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</si>
</sst>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[$₹-4009]\ #,##0.00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14" fontId="5" fillId="0" borderId="1" xfId="0" applyNumberFormat="1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172" fontId="5" fillId="0" borderId="1" xfId="0" applyNumberFormat="1" applyFont="1" applyFill="1" applyBorder="1" applyAlignment="1">
      <alignment horizontal="left"/>
    </xf>
    <xf numFmtId="0" fontId="8" fillId="2" borderId="0" xfId="0" applyFont="1" applyFill="1"/>
    <xf numFmtId="0" fontId="9" fillId="0" borderId="0" xfId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_m10SWn0-pGdrLc0HUezWckpmAEGQlOW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showGridLines="0" topLeftCell="A5" workbookViewId="0">
      <selection activeCell="D27" sqref="D26:E27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4" ht="15.75" customHeight="1" x14ac:dyDescent="0.25">
      <c r="A1" s="1" t="s">
        <v>0</v>
      </c>
    </row>
    <row r="2" spans="1:14" ht="15.75" customHeight="1" x14ac:dyDescent="0.25"/>
    <row r="3" spans="1:14" ht="15.75" customHeight="1" x14ac:dyDescent="0.3">
      <c r="B3" s="2" t="s">
        <v>1</v>
      </c>
    </row>
    <row r="4" spans="1:14" ht="15.75" customHeight="1" x14ac:dyDescent="0.3">
      <c r="C4" s="3" t="s">
        <v>2</v>
      </c>
      <c r="K4" s="13" t="s">
        <v>138</v>
      </c>
    </row>
    <row r="5" spans="1:14" ht="15.75" customHeight="1" x14ac:dyDescent="0.3">
      <c r="B5" s="4"/>
      <c r="C5" s="3" t="s">
        <v>3</v>
      </c>
      <c r="L5" s="13" t="s">
        <v>138</v>
      </c>
    </row>
    <row r="6" spans="1:14" ht="15.75" customHeight="1" x14ac:dyDescent="0.3">
      <c r="B6" s="4"/>
    </row>
    <row r="7" spans="1:14" ht="15.75" customHeight="1" x14ac:dyDescent="0.3">
      <c r="B7" s="2" t="s">
        <v>4</v>
      </c>
    </row>
    <row r="8" spans="1:14" ht="15.75" customHeight="1" x14ac:dyDescent="0.3">
      <c r="C8" s="3" t="s">
        <v>5</v>
      </c>
      <c r="I8" s="13" t="s">
        <v>138</v>
      </c>
    </row>
    <row r="9" spans="1:14" ht="15.75" customHeight="1" x14ac:dyDescent="0.3">
      <c r="C9" s="3" t="s">
        <v>6</v>
      </c>
      <c r="G9" s="7" t="s">
        <v>138</v>
      </c>
    </row>
    <row r="10" spans="1:14" ht="15.75" customHeight="1" x14ac:dyDescent="0.3">
      <c r="C10" s="3" t="s">
        <v>7</v>
      </c>
      <c r="N10" s="13" t="s">
        <v>138</v>
      </c>
    </row>
    <row r="11" spans="1:14" ht="15.75" customHeight="1" x14ac:dyDescent="0.3">
      <c r="B11" s="4"/>
    </row>
    <row r="12" spans="1:14" ht="15.75" customHeight="1" x14ac:dyDescent="0.3">
      <c r="B12" s="2" t="s">
        <v>8</v>
      </c>
    </row>
    <row r="13" spans="1:14" ht="15.75" customHeight="1" x14ac:dyDescent="0.3">
      <c r="B13" s="2"/>
      <c r="C13" s="3" t="s">
        <v>9</v>
      </c>
      <c r="K13" s="13" t="s">
        <v>138</v>
      </c>
    </row>
    <row r="14" spans="1:14" ht="15.75" customHeight="1" x14ac:dyDescent="0.25"/>
    <row r="15" spans="1:14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4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  <c r="M16" s="7"/>
      <c r="N16" s="13" t="s">
        <v>138</v>
      </c>
    </row>
    <row r="17" spans="2:12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13" t="s">
        <v>138</v>
      </c>
      <c r="K17" s="5"/>
    </row>
    <row r="18" spans="2:12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2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2" ht="15.75" customHeight="1" x14ac:dyDescent="0.3">
      <c r="B20" s="5"/>
      <c r="C20" s="3" t="s">
        <v>14</v>
      </c>
      <c r="D20" s="5"/>
      <c r="E20" s="5"/>
      <c r="F20" s="5"/>
      <c r="G20" s="5"/>
      <c r="H20" s="13" t="s">
        <v>138</v>
      </c>
      <c r="I20" s="5"/>
      <c r="J20" s="5"/>
      <c r="K20" s="5"/>
    </row>
    <row r="21" spans="2:12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13" t="s">
        <v>138</v>
      </c>
      <c r="K21" s="5"/>
    </row>
    <row r="22" spans="2:12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2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2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13" t="s">
        <v>138</v>
      </c>
      <c r="J24" s="5"/>
      <c r="K24" s="5"/>
    </row>
    <row r="25" spans="2:12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  <c r="L25" s="13" t="s">
        <v>138</v>
      </c>
    </row>
    <row r="26" spans="2:12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2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2" ht="15.75" customHeight="1" x14ac:dyDescent="0.25"/>
    <row r="29" spans="2:12" ht="15.75" customHeight="1" x14ac:dyDescent="0.25"/>
    <row r="30" spans="2:12" ht="15.75" customHeight="1" x14ac:dyDescent="0.25"/>
    <row r="31" spans="2:12" ht="15.75" customHeight="1" x14ac:dyDescent="0.25"/>
    <row r="32" spans="2:1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1"/>
  <sheetViews>
    <sheetView tabSelected="1" workbookViewId="0">
      <selection activeCell="A2" sqref="A2"/>
    </sheetView>
  </sheetViews>
  <sheetFormatPr defaultColWidth="12.6640625" defaultRowHeight="15" customHeight="1" x14ac:dyDescent="0.25"/>
  <cols>
    <col min="1" max="1" width="10.77734375" bestFit="1" customWidth="1"/>
    <col min="2" max="7" width="12.6640625" customWidth="1"/>
    <col min="8" max="8" width="13.6640625" bestFit="1" customWidth="1"/>
    <col min="9" max="9" width="16.44140625" bestFit="1" customWidth="1"/>
    <col min="10" max="10" width="12.6640625" customWidth="1"/>
    <col min="12" max="12" width="21.44140625" bestFit="1" customWidth="1"/>
  </cols>
  <sheetData>
    <row r="1" spans="1:14" ht="15" customHeight="1" x14ac:dyDescent="0.25">
      <c r="A1" s="7" t="s">
        <v>132</v>
      </c>
      <c r="E1" s="7" t="s">
        <v>136</v>
      </c>
      <c r="H1" s="7" t="s">
        <v>131</v>
      </c>
      <c r="I1" s="7" t="s">
        <v>135</v>
      </c>
      <c r="J1" s="7" t="s">
        <v>133</v>
      </c>
      <c r="L1" s="7" t="s">
        <v>134</v>
      </c>
      <c r="M1" s="7" t="s">
        <v>137</v>
      </c>
    </row>
    <row r="2" spans="1:14" ht="15.75" customHeight="1" x14ac:dyDescent="0.25">
      <c r="A2" s="8" t="s">
        <v>19</v>
      </c>
      <c r="B2" s="8" t="s">
        <v>20</v>
      </c>
      <c r="C2" s="8" t="s">
        <v>21</v>
      </c>
      <c r="D2" s="8" t="s">
        <v>22</v>
      </c>
      <c r="E2" s="8" t="s">
        <v>115</v>
      </c>
      <c r="F2" s="8" t="s">
        <v>23</v>
      </c>
      <c r="G2" s="8" t="s">
        <v>24</v>
      </c>
      <c r="H2" s="8" t="s">
        <v>20</v>
      </c>
      <c r="I2" s="8" t="s">
        <v>128</v>
      </c>
      <c r="J2" s="8" t="s">
        <v>129</v>
      </c>
      <c r="K2" s="8" t="s">
        <v>24</v>
      </c>
      <c r="L2" s="8" t="s">
        <v>130</v>
      </c>
      <c r="M2" s="8" t="s">
        <v>24</v>
      </c>
      <c r="N2" s="14" t="s">
        <v>139</v>
      </c>
    </row>
    <row r="3" spans="1:14" ht="15.75" customHeight="1" x14ac:dyDescent="0.25">
      <c r="A3" s="9" t="s">
        <v>25</v>
      </c>
      <c r="B3" s="9" t="s">
        <v>26</v>
      </c>
      <c r="C3" s="9" t="s">
        <v>27</v>
      </c>
      <c r="D3" s="9">
        <v>1000</v>
      </c>
      <c r="E3" s="12">
        <v>1000</v>
      </c>
      <c r="F3" s="9">
        <v>30</v>
      </c>
      <c r="G3" s="9" t="s">
        <v>28</v>
      </c>
      <c r="H3" s="9" t="str">
        <f>PROPER(B3)</f>
        <v>Laptop</v>
      </c>
      <c r="I3" s="10">
        <v>45685</v>
      </c>
      <c r="J3" s="9" t="s">
        <v>116</v>
      </c>
      <c r="K3" s="9" t="s">
        <v>28</v>
      </c>
      <c r="L3" s="11" t="str">
        <f>CONCATENATE(H3," ",C3)</f>
        <v>Laptop Dell</v>
      </c>
      <c r="M3" s="9" t="str">
        <f>IF(ISBLANK(K3),"Unknown",K3)</f>
        <v>Electronics</v>
      </c>
      <c r="N3" s="7" t="s">
        <v>140</v>
      </c>
    </row>
    <row r="4" spans="1:14" ht="15.75" customHeight="1" x14ac:dyDescent="0.25">
      <c r="A4" s="9" t="s">
        <v>29</v>
      </c>
      <c r="B4" s="9" t="s">
        <v>30</v>
      </c>
      <c r="C4" s="9" t="s">
        <v>31</v>
      </c>
      <c r="D4" s="9">
        <v>80</v>
      </c>
      <c r="E4" s="12">
        <v>80</v>
      </c>
      <c r="F4" s="9">
        <v>15</v>
      </c>
      <c r="G4" s="9" t="s">
        <v>32</v>
      </c>
      <c r="H4" s="9" t="str">
        <f>PROPER(B4)</f>
        <v>Sneakers</v>
      </c>
      <c r="I4" s="10">
        <v>45703</v>
      </c>
      <c r="J4" s="9" t="s">
        <v>116</v>
      </c>
      <c r="K4" s="9" t="s">
        <v>32</v>
      </c>
      <c r="L4" s="11" t="str">
        <f t="shared" ref="L4:L33" si="0">CONCATENATE(H4," ",C4)</f>
        <v>Sneakers Nike</v>
      </c>
      <c r="M4" s="9" t="str">
        <f t="shared" ref="M4:M33" si="1">IF(ISBLANK(K4),"Unknown",K4)</f>
        <v>Fashion</v>
      </c>
    </row>
    <row r="5" spans="1:14" ht="15.75" customHeight="1" x14ac:dyDescent="0.25">
      <c r="A5" s="9" t="s">
        <v>33</v>
      </c>
      <c r="B5" s="9" t="s">
        <v>34</v>
      </c>
      <c r="C5" s="9" t="s">
        <v>35</v>
      </c>
      <c r="D5" s="9">
        <v>130</v>
      </c>
      <c r="E5" s="12">
        <v>130</v>
      </c>
      <c r="F5" s="9">
        <v>40</v>
      </c>
      <c r="G5" s="9" t="s">
        <v>36</v>
      </c>
      <c r="H5" s="9" t="str">
        <f>PROPER(B5)</f>
        <v>Coffee Maker</v>
      </c>
      <c r="I5" s="10">
        <v>45719</v>
      </c>
      <c r="J5" s="9" t="s">
        <v>116</v>
      </c>
      <c r="K5" s="9" t="s">
        <v>36</v>
      </c>
      <c r="L5" s="11" t="str">
        <f t="shared" si="0"/>
        <v>Coffee Maker Keurig</v>
      </c>
      <c r="M5" s="9" t="str">
        <f t="shared" si="1"/>
        <v>Kitchen</v>
      </c>
    </row>
    <row r="6" spans="1:14" ht="15.75" customHeight="1" x14ac:dyDescent="0.25">
      <c r="A6" s="9" t="s">
        <v>37</v>
      </c>
      <c r="B6" s="9" t="s">
        <v>38</v>
      </c>
      <c r="C6" s="9" t="s">
        <v>39</v>
      </c>
      <c r="D6" s="9">
        <v>900</v>
      </c>
      <c r="E6" s="12">
        <v>900</v>
      </c>
      <c r="F6" s="9">
        <v>25</v>
      </c>
      <c r="G6" s="9" t="s">
        <v>28</v>
      </c>
      <c r="H6" s="9" t="str">
        <f>PROPER(B6)</f>
        <v>Smartphone</v>
      </c>
      <c r="I6" s="10">
        <v>45758</v>
      </c>
      <c r="J6" s="9" t="s">
        <v>116</v>
      </c>
      <c r="K6" s="9" t="s">
        <v>28</v>
      </c>
      <c r="L6" s="11" t="str">
        <f t="shared" si="0"/>
        <v>Smartphone Samsung</v>
      </c>
      <c r="M6" s="9" t="str">
        <f t="shared" si="1"/>
        <v>Electronics</v>
      </c>
    </row>
    <row r="7" spans="1:14" ht="15.75" customHeight="1" x14ac:dyDescent="0.25">
      <c r="A7" s="9" t="s">
        <v>40</v>
      </c>
      <c r="B7" s="9" t="s">
        <v>41</v>
      </c>
      <c r="C7" s="9" t="s">
        <v>42</v>
      </c>
      <c r="D7" s="9">
        <v>70</v>
      </c>
      <c r="E7" s="12">
        <v>70</v>
      </c>
      <c r="F7" s="9">
        <v>20</v>
      </c>
      <c r="G7" s="9"/>
      <c r="H7" s="9" t="str">
        <f>PROPER(B7)</f>
        <v>Backpack</v>
      </c>
      <c r="I7" s="10">
        <v>45799</v>
      </c>
      <c r="J7" s="9" t="s">
        <v>116</v>
      </c>
      <c r="K7" s="9"/>
      <c r="L7" s="11" t="str">
        <f t="shared" si="0"/>
        <v>Backpack North Face</v>
      </c>
      <c r="M7" s="9" t="str">
        <f t="shared" si="1"/>
        <v>Unknown</v>
      </c>
    </row>
    <row r="8" spans="1:14" ht="15.75" customHeight="1" x14ac:dyDescent="0.25">
      <c r="A8" s="9" t="s">
        <v>43</v>
      </c>
      <c r="B8" s="9" t="s">
        <v>44</v>
      </c>
      <c r="C8" s="9" t="s">
        <v>45</v>
      </c>
      <c r="D8" s="9"/>
      <c r="E8" s="12">
        <v>267.82608695652175</v>
      </c>
      <c r="F8" s="9">
        <v>45</v>
      </c>
      <c r="G8" s="9" t="s">
        <v>28</v>
      </c>
      <c r="H8" s="9" t="str">
        <f>PROPER(B8)</f>
        <v>Headphones</v>
      </c>
      <c r="I8" s="10">
        <v>45815</v>
      </c>
      <c r="J8" s="9" t="s">
        <v>117</v>
      </c>
      <c r="K8" s="9" t="s">
        <v>28</v>
      </c>
      <c r="L8" s="11" t="str">
        <f t="shared" si="0"/>
        <v>Headphones Sony</v>
      </c>
      <c r="M8" s="9" t="str">
        <f t="shared" si="1"/>
        <v>Electronics</v>
      </c>
    </row>
    <row r="9" spans="1:14" ht="15.75" customHeight="1" x14ac:dyDescent="0.25">
      <c r="A9" s="9" t="s">
        <v>46</v>
      </c>
      <c r="B9" s="9" t="s">
        <v>47</v>
      </c>
      <c r="C9" s="9" t="s">
        <v>48</v>
      </c>
      <c r="D9" s="9">
        <v>30</v>
      </c>
      <c r="E9" s="12">
        <v>30</v>
      </c>
      <c r="F9" s="9">
        <v>5</v>
      </c>
      <c r="G9" s="9" t="s">
        <v>32</v>
      </c>
      <c r="H9" s="9" t="str">
        <f>PROPER(B9)</f>
        <v>T-Shirt</v>
      </c>
      <c r="I9" s="10">
        <v>45857</v>
      </c>
      <c r="J9" s="9" t="s">
        <v>117</v>
      </c>
      <c r="K9" s="9" t="s">
        <v>32</v>
      </c>
      <c r="L9" s="11" t="str">
        <f t="shared" si="0"/>
        <v>T-Shirt Adidas</v>
      </c>
      <c r="M9" s="9" t="str">
        <f t="shared" si="1"/>
        <v>Fashion</v>
      </c>
    </row>
    <row r="10" spans="1:14" ht="15.75" customHeight="1" x14ac:dyDescent="0.25">
      <c r="A10" s="9" t="s">
        <v>49</v>
      </c>
      <c r="B10" s="9" t="s">
        <v>50</v>
      </c>
      <c r="C10" s="9" t="s">
        <v>51</v>
      </c>
      <c r="D10" s="9">
        <v>90</v>
      </c>
      <c r="E10" s="12">
        <v>90</v>
      </c>
      <c r="F10" s="9">
        <v>35</v>
      </c>
      <c r="G10" s="9" t="s">
        <v>36</v>
      </c>
      <c r="H10" s="9" t="str">
        <f>PROPER(B10)</f>
        <v>Blender</v>
      </c>
      <c r="I10" s="10">
        <v>45892</v>
      </c>
      <c r="J10" s="9" t="s">
        <v>117</v>
      </c>
      <c r="K10" s="9" t="s">
        <v>36</v>
      </c>
      <c r="L10" s="11" t="str">
        <f t="shared" si="0"/>
        <v>Blender Ninja</v>
      </c>
      <c r="M10" s="9" t="str">
        <f t="shared" si="1"/>
        <v>Kitchen</v>
      </c>
    </row>
    <row r="11" spans="1:14" ht="15.75" customHeight="1" x14ac:dyDescent="0.25">
      <c r="A11" s="9" t="s">
        <v>52</v>
      </c>
      <c r="B11" s="9" t="s">
        <v>53</v>
      </c>
      <c r="C11" s="9" t="s">
        <v>54</v>
      </c>
      <c r="D11" s="9">
        <v>500</v>
      </c>
      <c r="E11" s="12">
        <v>500</v>
      </c>
      <c r="F11" s="9">
        <v>50</v>
      </c>
      <c r="G11" s="9" t="s">
        <v>28</v>
      </c>
      <c r="H11" s="9" t="str">
        <f>PROPER(B11)</f>
        <v>Tablet</v>
      </c>
      <c r="I11" s="10">
        <v>45905</v>
      </c>
      <c r="J11" s="9" t="s">
        <v>117</v>
      </c>
      <c r="K11" s="9" t="s">
        <v>28</v>
      </c>
      <c r="L11" s="11" t="str">
        <f t="shared" si="0"/>
        <v>Tablet Apple</v>
      </c>
      <c r="M11" s="9" t="str">
        <f t="shared" si="1"/>
        <v>Electronics</v>
      </c>
      <c r="N11" s="7" t="s">
        <v>132</v>
      </c>
    </row>
    <row r="12" spans="1:14" ht="15.75" customHeight="1" x14ac:dyDescent="0.25">
      <c r="A12" s="9" t="s">
        <v>55</v>
      </c>
      <c r="B12" s="9" t="s">
        <v>56</v>
      </c>
      <c r="C12" s="9" t="s">
        <v>57</v>
      </c>
      <c r="D12" s="9">
        <v>130</v>
      </c>
      <c r="E12" s="12">
        <v>130</v>
      </c>
      <c r="F12" s="9">
        <v>10</v>
      </c>
      <c r="G12" s="9" t="s">
        <v>58</v>
      </c>
      <c r="H12" s="9" t="str">
        <f>PROPER(B12)</f>
        <v>Hiking Boots</v>
      </c>
      <c r="I12" s="10">
        <v>45944</v>
      </c>
      <c r="J12" s="9" t="s">
        <v>117</v>
      </c>
      <c r="K12" s="9" t="s">
        <v>58</v>
      </c>
      <c r="L12" s="11" t="str">
        <f t="shared" si="0"/>
        <v>Hiking Boots Timberland</v>
      </c>
      <c r="M12" s="9" t="str">
        <f t="shared" si="1"/>
        <v>Outdoor</v>
      </c>
    </row>
    <row r="13" spans="1:14" ht="15.75" customHeight="1" x14ac:dyDescent="0.25">
      <c r="A13" s="9" t="s">
        <v>59</v>
      </c>
      <c r="B13" s="9" t="s">
        <v>60</v>
      </c>
      <c r="C13" s="9" t="s">
        <v>61</v>
      </c>
      <c r="D13" s="9">
        <v>950</v>
      </c>
      <c r="E13" s="12">
        <v>950</v>
      </c>
      <c r="F13" s="9">
        <v>25</v>
      </c>
      <c r="G13" s="9" t="s">
        <v>28</v>
      </c>
      <c r="H13" s="9" t="str">
        <f>PROPER(B13)</f>
        <v>Laptop</v>
      </c>
      <c r="I13" s="10">
        <v>45825</v>
      </c>
      <c r="J13" s="9" t="s">
        <v>118</v>
      </c>
      <c r="K13" s="9" t="s">
        <v>28</v>
      </c>
      <c r="L13" s="11" t="str">
        <f t="shared" si="0"/>
        <v>Laptop HP</v>
      </c>
      <c r="M13" s="9" t="str">
        <f t="shared" si="1"/>
        <v>Electronics</v>
      </c>
    </row>
    <row r="14" spans="1:14" ht="15.75" customHeight="1" x14ac:dyDescent="0.25">
      <c r="A14" s="9" t="s">
        <v>62</v>
      </c>
      <c r="B14" s="9" t="s">
        <v>30</v>
      </c>
      <c r="C14" s="9" t="s">
        <v>48</v>
      </c>
      <c r="D14" s="9">
        <v>90</v>
      </c>
      <c r="E14" s="12">
        <v>90</v>
      </c>
      <c r="F14" s="9">
        <v>40</v>
      </c>
      <c r="G14" s="9"/>
      <c r="H14" s="9" t="str">
        <f>PROPER(B14)</f>
        <v>Sneakers</v>
      </c>
      <c r="I14" s="10">
        <v>45986</v>
      </c>
      <c r="J14" s="9" t="s">
        <v>119</v>
      </c>
      <c r="K14" s="9"/>
      <c r="L14" s="11" t="str">
        <f t="shared" si="0"/>
        <v>Sneakers Adidas</v>
      </c>
      <c r="M14" s="9" t="str">
        <f t="shared" si="1"/>
        <v>Unknown</v>
      </c>
    </row>
    <row r="15" spans="1:14" ht="15.75" customHeight="1" x14ac:dyDescent="0.25">
      <c r="A15" s="9" t="s">
        <v>63</v>
      </c>
      <c r="B15" s="9" t="s">
        <v>34</v>
      </c>
      <c r="C15" s="9" t="s">
        <v>64</v>
      </c>
      <c r="D15" s="9">
        <v>120</v>
      </c>
      <c r="E15" s="12">
        <v>120</v>
      </c>
      <c r="F15" s="9">
        <v>35</v>
      </c>
      <c r="G15" s="9"/>
      <c r="H15" s="9" t="str">
        <f>PROPER(B15)</f>
        <v>Coffee Maker</v>
      </c>
      <c r="I15" s="10">
        <v>45999</v>
      </c>
      <c r="J15" s="9" t="s">
        <v>120</v>
      </c>
      <c r="K15" s="9"/>
      <c r="L15" s="11" t="str">
        <f t="shared" si="0"/>
        <v>Coffee Maker Nespresso</v>
      </c>
      <c r="M15" s="9" t="str">
        <f t="shared" si="1"/>
        <v>Unknown</v>
      </c>
    </row>
    <row r="16" spans="1:14" ht="15.75" customHeight="1" x14ac:dyDescent="0.25">
      <c r="A16" s="9" t="s">
        <v>65</v>
      </c>
      <c r="B16" s="9" t="s">
        <v>66</v>
      </c>
      <c r="C16" s="9" t="s">
        <v>67</v>
      </c>
      <c r="D16" s="9">
        <v>150</v>
      </c>
      <c r="E16" s="12">
        <v>150</v>
      </c>
      <c r="F16" s="9">
        <v>15</v>
      </c>
      <c r="G16" s="9" t="s">
        <v>28</v>
      </c>
      <c r="H16" s="9" t="str">
        <f>PROPER(B16)</f>
        <v>Smartwatch</v>
      </c>
      <c r="I16" s="10">
        <v>45706</v>
      </c>
      <c r="J16" s="9" t="s">
        <v>121</v>
      </c>
      <c r="K16" s="9" t="s">
        <v>28</v>
      </c>
      <c r="L16" s="11" t="str">
        <f t="shared" si="0"/>
        <v>Smartwatch Fitbit</v>
      </c>
      <c r="M16" s="9" t="str">
        <f t="shared" si="1"/>
        <v>Electronics</v>
      </c>
    </row>
    <row r="17" spans="1:13" ht="15.75" customHeight="1" x14ac:dyDescent="0.25">
      <c r="A17" s="9" t="s">
        <v>68</v>
      </c>
      <c r="B17" s="9" t="s">
        <v>69</v>
      </c>
      <c r="C17" s="9" t="s">
        <v>70</v>
      </c>
      <c r="D17" s="9">
        <v>250</v>
      </c>
      <c r="E17" s="12">
        <v>250</v>
      </c>
      <c r="F17" s="9">
        <v>20</v>
      </c>
      <c r="G17" s="9" t="s">
        <v>28</v>
      </c>
      <c r="H17" s="9" t="str">
        <f>PROPER(B17)</f>
        <v>Headphones</v>
      </c>
      <c r="I17" s="10">
        <v>45763</v>
      </c>
      <c r="J17" s="9" t="s">
        <v>122</v>
      </c>
      <c r="K17" s="9" t="s">
        <v>28</v>
      </c>
      <c r="L17" s="11" t="str">
        <f t="shared" si="0"/>
        <v>Headphones Bose</v>
      </c>
      <c r="M17" s="9" t="str">
        <f t="shared" si="1"/>
        <v>Electronics</v>
      </c>
    </row>
    <row r="18" spans="1:13" ht="15.75" customHeight="1" x14ac:dyDescent="0.25">
      <c r="A18" s="9" t="s">
        <v>71</v>
      </c>
      <c r="B18" s="9" t="s">
        <v>72</v>
      </c>
      <c r="C18" s="9" t="s">
        <v>73</v>
      </c>
      <c r="D18" s="9">
        <v>50</v>
      </c>
      <c r="E18" s="12">
        <v>50</v>
      </c>
      <c r="F18" s="9">
        <v>35</v>
      </c>
      <c r="G18" s="9" t="s">
        <v>74</v>
      </c>
      <c r="H18" s="9" t="str">
        <f>PROPER(B18)</f>
        <v>Laptop Bag</v>
      </c>
      <c r="I18" s="10">
        <v>45890</v>
      </c>
      <c r="J18" s="9" t="s">
        <v>121</v>
      </c>
      <c r="K18" s="9" t="s">
        <v>74</v>
      </c>
      <c r="L18" s="11" t="str">
        <f t="shared" si="0"/>
        <v>Laptop Bag Samsonite</v>
      </c>
      <c r="M18" s="9" t="str">
        <f t="shared" si="1"/>
        <v>Accessories</v>
      </c>
    </row>
    <row r="19" spans="1:13" ht="15.75" customHeight="1" x14ac:dyDescent="0.25">
      <c r="A19" s="9" t="s">
        <v>75</v>
      </c>
      <c r="B19" s="9" t="s">
        <v>66</v>
      </c>
      <c r="C19" s="9" t="s">
        <v>76</v>
      </c>
      <c r="D19" s="9">
        <v>160</v>
      </c>
      <c r="E19" s="12">
        <v>160</v>
      </c>
      <c r="F19" s="9">
        <v>15</v>
      </c>
      <c r="G19" s="9" t="s">
        <v>28</v>
      </c>
      <c r="H19" s="9" t="str">
        <f>PROPER(B19)</f>
        <v>Smartwatch</v>
      </c>
      <c r="I19" s="10">
        <v>45889</v>
      </c>
      <c r="J19" s="9" t="s">
        <v>123</v>
      </c>
      <c r="K19" s="9" t="s">
        <v>28</v>
      </c>
      <c r="L19" s="11" t="str">
        <f t="shared" si="0"/>
        <v>Smartwatch Huawei</v>
      </c>
      <c r="M19" s="9" t="str">
        <f t="shared" si="1"/>
        <v>Electronics</v>
      </c>
    </row>
    <row r="20" spans="1:13" ht="15.75" customHeight="1" x14ac:dyDescent="0.25">
      <c r="A20" s="9" t="s">
        <v>77</v>
      </c>
      <c r="B20" s="9" t="s">
        <v>26</v>
      </c>
      <c r="C20" s="9" t="s">
        <v>78</v>
      </c>
      <c r="D20" s="9">
        <v>980</v>
      </c>
      <c r="E20" s="12">
        <v>980</v>
      </c>
      <c r="F20" s="9">
        <v>10</v>
      </c>
      <c r="G20" s="9" t="s">
        <v>28</v>
      </c>
      <c r="H20" s="9" t="str">
        <f>PROPER(B20)</f>
        <v>Laptop</v>
      </c>
      <c r="I20" s="10">
        <v>45684</v>
      </c>
      <c r="J20" s="9" t="s">
        <v>124</v>
      </c>
      <c r="K20" s="9" t="s">
        <v>28</v>
      </c>
      <c r="L20" s="11" t="str">
        <f t="shared" si="0"/>
        <v>Laptop Asus</v>
      </c>
      <c r="M20" s="9" t="str">
        <f t="shared" si="1"/>
        <v>Electronics</v>
      </c>
    </row>
    <row r="21" spans="1:13" ht="15.75" customHeight="1" x14ac:dyDescent="0.25">
      <c r="A21" s="9" t="s">
        <v>79</v>
      </c>
      <c r="B21" s="9" t="s">
        <v>80</v>
      </c>
      <c r="C21" s="9" t="s">
        <v>81</v>
      </c>
      <c r="D21" s="9">
        <v>150</v>
      </c>
      <c r="E21" s="12">
        <v>150</v>
      </c>
      <c r="F21" s="9">
        <v>15</v>
      </c>
      <c r="G21" s="9" t="s">
        <v>32</v>
      </c>
      <c r="H21" s="9" t="str">
        <f>PROPER(B21)</f>
        <v>Sunglasses</v>
      </c>
      <c r="I21" s="10">
        <v>45717</v>
      </c>
      <c r="J21" s="9" t="s">
        <v>117</v>
      </c>
      <c r="K21" s="9" t="s">
        <v>32</v>
      </c>
      <c r="L21" s="11" t="str">
        <f t="shared" si="0"/>
        <v>Sunglasses Oakley</v>
      </c>
      <c r="M21" s="9" t="str">
        <f t="shared" si="1"/>
        <v>Fashion</v>
      </c>
    </row>
    <row r="22" spans="1:13" ht="15.75" customHeight="1" x14ac:dyDescent="0.25">
      <c r="A22" s="9" t="s">
        <v>82</v>
      </c>
      <c r="B22" s="9" t="s">
        <v>83</v>
      </c>
      <c r="C22" s="9" t="s">
        <v>84</v>
      </c>
      <c r="D22" s="9"/>
      <c r="E22" s="12">
        <v>251</v>
      </c>
      <c r="F22" s="9">
        <v>10</v>
      </c>
      <c r="G22" s="9" t="s">
        <v>58</v>
      </c>
      <c r="H22" s="9" t="str">
        <f>PROPER(B22)</f>
        <v>Camping Tent</v>
      </c>
      <c r="I22" s="10">
        <v>45883</v>
      </c>
      <c r="J22" s="9" t="s">
        <v>116</v>
      </c>
      <c r="K22" s="9" t="s">
        <v>58</v>
      </c>
      <c r="L22" s="11" t="str">
        <f t="shared" si="0"/>
        <v>Camping Tent Coleman</v>
      </c>
      <c r="M22" s="9" t="str">
        <f t="shared" si="1"/>
        <v>Outdoor</v>
      </c>
    </row>
    <row r="23" spans="1:13" ht="15.75" customHeight="1" x14ac:dyDescent="0.25">
      <c r="A23" s="9" t="s">
        <v>85</v>
      </c>
      <c r="B23" s="9" t="s">
        <v>86</v>
      </c>
      <c r="C23" s="9" t="s">
        <v>87</v>
      </c>
      <c r="D23" s="9">
        <v>700</v>
      </c>
      <c r="E23" s="12">
        <v>700</v>
      </c>
      <c r="F23" s="9">
        <v>50</v>
      </c>
      <c r="G23" s="9" t="s">
        <v>28</v>
      </c>
      <c r="H23" s="9" t="str">
        <f>PROPER(B23)</f>
        <v>Camera</v>
      </c>
      <c r="I23" s="10">
        <v>45791</v>
      </c>
      <c r="J23" s="9" t="s">
        <v>125</v>
      </c>
      <c r="K23" s="9" t="s">
        <v>28</v>
      </c>
      <c r="L23" s="11" t="str">
        <f t="shared" si="0"/>
        <v>Camera Nikon</v>
      </c>
      <c r="M23" s="9" t="str">
        <f t="shared" si="1"/>
        <v>Electronics</v>
      </c>
    </row>
    <row r="24" spans="1:13" ht="15.75" customHeight="1" x14ac:dyDescent="0.25">
      <c r="A24" s="9" t="s">
        <v>88</v>
      </c>
      <c r="B24" s="9" t="s">
        <v>89</v>
      </c>
      <c r="C24" s="9" t="s">
        <v>90</v>
      </c>
      <c r="D24" s="9">
        <v>80</v>
      </c>
      <c r="E24" s="12">
        <v>80</v>
      </c>
      <c r="F24" s="9">
        <v>20</v>
      </c>
      <c r="G24" s="9" t="s">
        <v>36</v>
      </c>
      <c r="H24" s="9" t="str">
        <f>PROPER(B24)</f>
        <v>Microwave</v>
      </c>
      <c r="I24" s="10">
        <v>45666</v>
      </c>
      <c r="J24" s="9" t="s">
        <v>121</v>
      </c>
      <c r="K24" s="9" t="s">
        <v>36</v>
      </c>
      <c r="L24" s="11" t="str">
        <f t="shared" si="0"/>
        <v>Microwave Panasonic</v>
      </c>
      <c r="M24" s="9" t="str">
        <f t="shared" si="1"/>
        <v>Kitchen</v>
      </c>
    </row>
    <row r="25" spans="1:13" ht="15.75" customHeight="1" x14ac:dyDescent="0.25">
      <c r="A25" s="9" t="s">
        <v>91</v>
      </c>
      <c r="B25" s="9" t="s">
        <v>92</v>
      </c>
      <c r="C25" s="9" t="s">
        <v>93</v>
      </c>
      <c r="D25" s="9">
        <v>150</v>
      </c>
      <c r="E25" s="12">
        <v>150</v>
      </c>
      <c r="F25" s="9">
        <v>30</v>
      </c>
      <c r="G25" s="9"/>
      <c r="H25" s="9" t="str">
        <f>PROPER(B25)</f>
        <v>Fitness Tracker</v>
      </c>
      <c r="I25" s="10">
        <v>45857</v>
      </c>
      <c r="J25" s="9" t="s">
        <v>126</v>
      </c>
      <c r="K25" s="9"/>
      <c r="L25" s="11" t="str">
        <f t="shared" si="0"/>
        <v>Fitness Tracker Xiaomi</v>
      </c>
      <c r="M25" s="9" t="str">
        <f t="shared" si="1"/>
        <v>Unknown</v>
      </c>
    </row>
    <row r="26" spans="1:13" ht="15.75" customHeight="1" x14ac:dyDescent="0.25">
      <c r="A26" s="9" t="s">
        <v>94</v>
      </c>
      <c r="B26" s="9" t="s">
        <v>95</v>
      </c>
      <c r="C26" s="9" t="s">
        <v>96</v>
      </c>
      <c r="D26" s="9">
        <v>800</v>
      </c>
      <c r="E26" s="12">
        <v>800</v>
      </c>
      <c r="F26" s="9">
        <v>45</v>
      </c>
      <c r="G26" s="9" t="s">
        <v>28</v>
      </c>
      <c r="H26" s="9" t="str">
        <f>PROPER(B26)</f>
        <v>Smartphone</v>
      </c>
      <c r="I26" s="10">
        <v>45929</v>
      </c>
      <c r="J26" s="9" t="s">
        <v>121</v>
      </c>
      <c r="K26" s="9" t="s">
        <v>28</v>
      </c>
      <c r="L26" s="11" t="str">
        <f t="shared" si="0"/>
        <v>Smartphone Google</v>
      </c>
      <c r="M26" s="9" t="str">
        <f t="shared" si="1"/>
        <v>Electronics</v>
      </c>
    </row>
    <row r="27" spans="1:13" ht="15.75" customHeight="1" x14ac:dyDescent="0.25">
      <c r="A27" s="9" t="s">
        <v>97</v>
      </c>
      <c r="B27" s="9" t="s">
        <v>80</v>
      </c>
      <c r="C27" s="9" t="s">
        <v>98</v>
      </c>
      <c r="D27" s="9"/>
      <c r="E27" s="12">
        <v>130</v>
      </c>
      <c r="F27" s="9">
        <v>25</v>
      </c>
      <c r="G27" s="9" t="s">
        <v>32</v>
      </c>
      <c r="H27" s="9" t="str">
        <f>PROPER(B27)</f>
        <v>Sunglasses</v>
      </c>
      <c r="I27" s="10">
        <v>45811</v>
      </c>
      <c r="J27" s="9" t="s">
        <v>121</v>
      </c>
      <c r="K27" s="9" t="s">
        <v>32</v>
      </c>
      <c r="L27" s="11" t="str">
        <f t="shared" si="0"/>
        <v>Sunglasses Ray-Ban</v>
      </c>
      <c r="M27" s="9" t="str">
        <f t="shared" si="1"/>
        <v>Fashion</v>
      </c>
    </row>
    <row r="28" spans="1:13" ht="15.75" customHeight="1" x14ac:dyDescent="0.25">
      <c r="A28" s="9" t="s">
        <v>99</v>
      </c>
      <c r="B28" s="9" t="s">
        <v>50</v>
      </c>
      <c r="C28" s="9" t="s">
        <v>100</v>
      </c>
      <c r="D28" s="9">
        <v>400</v>
      </c>
      <c r="E28" s="12">
        <v>400</v>
      </c>
      <c r="F28" s="9">
        <v>40</v>
      </c>
      <c r="G28" s="9" t="s">
        <v>36</v>
      </c>
      <c r="H28" s="9" t="str">
        <f>PROPER(B28)</f>
        <v>Blender</v>
      </c>
      <c r="I28" s="10">
        <v>45849</v>
      </c>
      <c r="J28" s="9" t="s">
        <v>121</v>
      </c>
      <c r="K28" s="9" t="s">
        <v>36</v>
      </c>
      <c r="L28" s="11" t="str">
        <f t="shared" si="0"/>
        <v>Blender Vitamix</v>
      </c>
      <c r="M28" s="9" t="str">
        <f t="shared" si="1"/>
        <v>Kitchen</v>
      </c>
    </row>
    <row r="29" spans="1:13" ht="15.75" customHeight="1" x14ac:dyDescent="0.25">
      <c r="A29" s="9" t="s">
        <v>101</v>
      </c>
      <c r="B29" s="9" t="s">
        <v>102</v>
      </c>
      <c r="C29" s="9" t="s">
        <v>103</v>
      </c>
      <c r="D29" s="9">
        <v>60</v>
      </c>
      <c r="E29" s="12">
        <v>60</v>
      </c>
      <c r="F29" s="9">
        <v>30</v>
      </c>
      <c r="G29" s="9" t="s">
        <v>32</v>
      </c>
      <c r="H29" s="9" t="str">
        <f>PROPER(B29)</f>
        <v>Dress</v>
      </c>
      <c r="I29" s="10">
        <v>45723</v>
      </c>
      <c r="J29" s="9" t="s">
        <v>121</v>
      </c>
      <c r="K29" s="9" t="s">
        <v>32</v>
      </c>
      <c r="L29" s="11" t="str">
        <f t="shared" si="0"/>
        <v>Dress Zara</v>
      </c>
      <c r="M29" s="9" t="str">
        <f t="shared" si="1"/>
        <v>Fashion</v>
      </c>
    </row>
    <row r="30" spans="1:13" ht="15.75" customHeight="1" x14ac:dyDescent="0.25">
      <c r="A30" s="9" t="s">
        <v>104</v>
      </c>
      <c r="B30" s="9" t="s">
        <v>105</v>
      </c>
      <c r="C30" s="9" t="s">
        <v>106</v>
      </c>
      <c r="D30" s="9">
        <v>40</v>
      </c>
      <c r="E30" s="12">
        <v>40</v>
      </c>
      <c r="F30" s="9">
        <v>10</v>
      </c>
      <c r="G30" s="9" t="s">
        <v>36</v>
      </c>
      <c r="H30" s="9" t="str">
        <f>PROPER(B30)</f>
        <v>Toaster</v>
      </c>
      <c r="I30" s="10">
        <v>45760</v>
      </c>
      <c r="J30" s="9" t="s">
        <v>121</v>
      </c>
      <c r="K30" s="9" t="s">
        <v>36</v>
      </c>
      <c r="L30" s="11" t="str">
        <f t="shared" si="0"/>
        <v>Toaster Hamilton</v>
      </c>
      <c r="M30" s="9" t="str">
        <f t="shared" si="1"/>
        <v>Kitchen</v>
      </c>
    </row>
    <row r="31" spans="1:13" ht="15.75" customHeight="1" x14ac:dyDescent="0.25">
      <c r="A31" s="9" t="s">
        <v>107</v>
      </c>
      <c r="B31" s="9" t="s">
        <v>92</v>
      </c>
      <c r="C31" s="9" t="s">
        <v>108</v>
      </c>
      <c r="D31" s="9">
        <v>130</v>
      </c>
      <c r="E31" s="12">
        <v>130</v>
      </c>
      <c r="F31" s="9">
        <v>5</v>
      </c>
      <c r="G31" s="9" t="s">
        <v>28</v>
      </c>
      <c r="H31" s="9" t="str">
        <f>PROPER(B31)</f>
        <v>Fitness Tracker</v>
      </c>
      <c r="I31" s="10">
        <v>45801</v>
      </c>
      <c r="J31" s="9" t="s">
        <v>121</v>
      </c>
      <c r="K31" s="9" t="s">
        <v>28</v>
      </c>
      <c r="L31" s="11" t="str">
        <f t="shared" si="0"/>
        <v>Fitness Tracker Garmin</v>
      </c>
      <c r="M31" s="9" t="str">
        <f t="shared" si="1"/>
        <v>Electronics</v>
      </c>
    </row>
    <row r="32" spans="1:13" ht="15.75" customHeight="1" x14ac:dyDescent="0.25">
      <c r="A32" s="9" t="s">
        <v>109</v>
      </c>
      <c r="B32" s="9" t="s">
        <v>110</v>
      </c>
      <c r="C32" s="9" t="s">
        <v>111</v>
      </c>
      <c r="D32" s="9">
        <v>50</v>
      </c>
      <c r="E32" s="12">
        <v>50</v>
      </c>
      <c r="F32" s="9">
        <v>50</v>
      </c>
      <c r="G32" s="9" t="s">
        <v>32</v>
      </c>
      <c r="H32" s="9" t="str">
        <f>PROPER(B32)</f>
        <v>Jeans</v>
      </c>
      <c r="I32" s="10">
        <v>45993</v>
      </c>
      <c r="J32" s="9" t="s">
        <v>121</v>
      </c>
      <c r="K32" s="9" t="s">
        <v>32</v>
      </c>
      <c r="L32" s="11" t="str">
        <f t="shared" si="0"/>
        <v>Jeans Levi's</v>
      </c>
      <c r="M32" s="9" t="str">
        <f t="shared" si="1"/>
        <v>Fashion</v>
      </c>
    </row>
    <row r="33" spans="1:13" ht="15.75" customHeight="1" x14ac:dyDescent="0.25">
      <c r="A33" s="9" t="s">
        <v>112</v>
      </c>
      <c r="B33" s="9" t="s">
        <v>113</v>
      </c>
      <c r="C33" s="9" t="s">
        <v>114</v>
      </c>
      <c r="D33" s="9">
        <v>100</v>
      </c>
      <c r="E33" s="12">
        <v>100</v>
      </c>
      <c r="F33" s="9">
        <v>20</v>
      </c>
      <c r="G33" s="9" t="s">
        <v>74</v>
      </c>
      <c r="H33" s="9" t="str">
        <f>PROPER(B33)</f>
        <v>Watch</v>
      </c>
      <c r="I33" s="10">
        <v>45847</v>
      </c>
      <c r="J33" s="9" t="s">
        <v>127</v>
      </c>
      <c r="K33" s="9" t="s">
        <v>74</v>
      </c>
      <c r="L33" s="11" t="str">
        <f t="shared" si="0"/>
        <v>Watch Casio</v>
      </c>
      <c r="M33" s="9" t="str">
        <f t="shared" si="1"/>
        <v>Accessories</v>
      </c>
    </row>
    <row r="34" spans="1:13" ht="15.75" customHeight="1" x14ac:dyDescent="0.25"/>
    <row r="35" spans="1:13" ht="15.75" customHeight="1" x14ac:dyDescent="0.25"/>
    <row r="36" spans="1:13" ht="15.75" customHeight="1" x14ac:dyDescent="0.25"/>
    <row r="37" spans="1:13" ht="15.75" customHeight="1" x14ac:dyDescent="0.25"/>
    <row r="38" spans="1:13" ht="15.75" customHeight="1" x14ac:dyDescent="0.25"/>
    <row r="39" spans="1:13" ht="15.75" customHeight="1" x14ac:dyDescent="0.25"/>
    <row r="40" spans="1:13" ht="15.75" customHeight="1" x14ac:dyDescent="0.25"/>
    <row r="41" spans="1:13" ht="15.75" customHeight="1" x14ac:dyDescent="0.25"/>
    <row r="42" spans="1:13" ht="15.75" customHeight="1" x14ac:dyDescent="0.25"/>
    <row r="43" spans="1:13" ht="15.75" customHeight="1" x14ac:dyDescent="0.25"/>
    <row r="44" spans="1:13" ht="15.75" customHeight="1" x14ac:dyDescent="0.25"/>
    <row r="45" spans="1:13" ht="15.75" customHeight="1" x14ac:dyDescent="0.25"/>
    <row r="46" spans="1:13" ht="15.75" customHeight="1" x14ac:dyDescent="0.25"/>
    <row r="47" spans="1:13" ht="15.75" customHeight="1" x14ac:dyDescent="0.25"/>
    <row r="48" spans="1:1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conditionalFormatting sqref="E3:E3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{9C821F43-7F7D-4B1B-94A2-B76854E98C7F}</x14:id>
        </ext>
      </extLst>
    </cfRule>
  </conditionalFormatting>
  <conditionalFormatting sqref="K3:K33">
    <cfRule type="cellIs" dxfId="1" priority="2" operator="equal">
      <formula>"Electronics"</formula>
    </cfRule>
  </conditionalFormatting>
  <conditionalFormatting sqref="M3:M33">
    <cfRule type="cellIs" dxfId="0" priority="1" operator="equal">
      <formula>"Electronics"</formula>
    </cfRule>
  </conditionalFormatting>
  <hyperlinks>
    <hyperlink ref="N2" r:id="rId1" xr:uid="{9C083412-8385-47FE-990C-48D605609D9F}"/>
  </hyperlinks>
  <pageMargins left="0.7" right="0.7" top="0.75" bottom="0.75" header="0.3" footer="0.3"/>
  <pageSetup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821F43-7F7D-4B1B-94A2-B76854E98C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Antolawrence</dc:creator>
  <cp:lastModifiedBy>arokiswamy parimalaeng</cp:lastModifiedBy>
  <cp:lastPrinted>2025-08-28T11:44:01Z</cp:lastPrinted>
  <dcterms:modified xsi:type="dcterms:W3CDTF">2025-08-28T11:48:23Z</dcterms:modified>
</cp:coreProperties>
</file>